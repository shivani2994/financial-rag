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 Set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<sst xmlns="http://schemas.openxmlformats.org/spreadsheetml/2006/main" count="130" uniqueCount="106">
  <si>
    <t xml:space="preserve">RAG Evaluation Set  |  Analyst-Primary (Phase 1)</t>
  </si>
  <si>
    <t xml:space="preserve">Corpus: Coca-Cola (KO), PepsiCo (PEP), Mondelez (MDLZ)  |  Quarters: Q3 2025 and Q1 2026  |  Docs: 10-K, two 10-Q, one transcript per company</t>
  </si>
  <si>
    <t xml:space="preserve">ID</t>
  </si>
  <si>
    <t xml:space="preserve">Scenario</t>
  </si>
  <si>
    <t xml:space="preserve">Question</t>
  </si>
  <si>
    <t xml:space="preserve">Expected source document(s)</t>
  </si>
  <si>
    <t xml:space="preserve">What a good answer contains</t>
  </si>
  <si>
    <t xml:space="preserve">Retrieved right source? (Y/N)</t>
  </si>
  <si>
    <t xml:space="preserve">Answer grounded / no made-up facts? (Y/N)</t>
  </si>
  <si>
    <t xml:space="preserve">Refused correctly? (Y/N/NA)</t>
  </si>
  <si>
    <t xml:space="preserve">Notes</t>
  </si>
  <si>
    <t xml:space="preserve">EXAMPLE</t>
  </si>
  <si>
    <t xml:space="preserve">1 - Fact lookup</t>
  </si>
  <si>
    <t xml:space="preserve">What did Coca-Cola say about pricing in Q1 2026?</t>
  </si>
  <si>
    <t xml:space="preserve">KO Q1 2026 transcript</t>
  </si>
  <si>
    <t xml:space="preserve">A grounded statement on pricing from the call, quoting or paraphrasing an executive, with the transcript cited.</t>
  </si>
  <si>
    <t xml:space="preserve">Y</t>
  </si>
  <si>
    <t xml:space="preserve">NA</t>
  </si>
  <si>
    <t xml:space="preserve">Example row - shows the format. Replace or delete when you start testing.</t>
  </si>
  <si>
    <t xml:space="preserve">Q01</t>
  </si>
  <si>
    <t xml:space="preserve">What did Coca-Cola's management say about pricing in Q1 2026?</t>
  </si>
  <si>
    <t xml:space="preserve">Specific pricing commentary, attributed to a speaker, cited to the transcript.</t>
  </si>
  <si>
    <t xml:space="preserve">Q02</t>
  </si>
  <si>
    <t xml:space="preserve">What were the main risk factors PepsiCo listed in its annual report?</t>
  </si>
  <si>
    <t xml:space="preserve">PEP 10-K (Risk Factors)</t>
  </si>
  <si>
    <t xml:space="preserve">A few of the key risks named in the 10-K Risk Factors section, cited to the filing.</t>
  </si>
  <si>
    <t xml:space="preserve">Q03</t>
  </si>
  <si>
    <t xml:space="preserve">Did Mondelez raise or lower its full-year guidance in Q1 2026?</t>
  </si>
  <si>
    <t xml:space="preserve">MDLZ Q1 2026 transcript or 10-Q</t>
  </si>
  <si>
    <t xml:space="preserve">The guidance direction, with the source and quarter cited.</t>
  </si>
  <si>
    <t xml:space="preserve">Q04</t>
  </si>
  <si>
    <t xml:space="preserve">What did PepsiCo say was driving margin pressure in Q1 2026?</t>
  </si>
  <si>
    <t xml:space="preserve">PEP Q1 2026 transcript</t>
  </si>
  <si>
    <t xml:space="preserve">The stated drivers of margin pressure, cited to the call.</t>
  </si>
  <si>
    <t xml:space="preserve">Q05</t>
  </si>
  <si>
    <t xml:space="preserve">What did Coca-Cola describe as its main growth drivers in Q1 2026?</t>
  </si>
  <si>
    <t xml:space="preserve">Named growth drivers, attributed and cited.</t>
  </si>
  <si>
    <t xml:space="preserve">Q06</t>
  </si>
  <si>
    <t xml:space="preserve">2 - Cross-company</t>
  </si>
  <si>
    <t xml:space="preserve">How did KO, PEP, and MDLZ each describe input-cost or commodity pressure in Q1 2026?</t>
  </si>
  <si>
    <t xml:space="preserve">All three Q1 2026 transcripts</t>
  </si>
  <si>
    <t xml:space="preserve">One grounded point per company, each cited to its own transcript.</t>
  </si>
  <si>
    <t xml:space="preserve">Q07</t>
  </si>
  <si>
    <t xml:space="preserve">Which of the three leaned more on price increases vs volume growth this quarter?</t>
  </si>
  <si>
    <t xml:space="preserve">A per-company read on price vs volume, each cited; no invented figures.</t>
  </si>
  <si>
    <t xml:space="preserve">Q08</t>
  </si>
  <si>
    <t xml:space="preserve">How did each company characterize consumer demand in its most recent quarter?</t>
  </si>
  <si>
    <t xml:space="preserve">A demand statement per company, each cited to its source.</t>
  </si>
  <si>
    <t xml:space="preserve">Q09</t>
  </si>
  <si>
    <t xml:space="preserve">3 - Change over time</t>
  </si>
  <si>
    <t xml:space="preserve">Did Coca-Cola's volume commentary improve or worsen from Q3 2025 to Q1 2026?</t>
  </si>
  <si>
    <t xml:space="preserve">KO Q3 2025 and Q1 2026 docs</t>
  </si>
  <si>
    <t xml:space="preserve">A comparison across the two periods, citing both sources.</t>
  </si>
  <si>
    <t xml:space="preserve">Q10</t>
  </si>
  <si>
    <t xml:space="preserve">What changed in PepsiCo's guidance between Q3 2025 and Q1 2026?</t>
  </si>
  <si>
    <t xml:space="preserve">PEP Q3 2025 and Q1 2026 docs</t>
  </si>
  <si>
    <t xml:space="preserve">The change described, with both periods cited.</t>
  </si>
  <si>
    <t xml:space="preserve">Q11</t>
  </si>
  <si>
    <t xml:space="preserve">4 - Sourcing / audit</t>
  </si>
  <si>
    <t xml:space="preserve">Where in the filings does Mondelez discuss foreign-currency effects on revenue?</t>
  </si>
  <si>
    <t xml:space="preserve">MDLZ 10-K or 10-Q</t>
  </si>
  <si>
    <t xml:space="preserve">The specific document and section located and cited.</t>
  </si>
  <si>
    <t xml:space="preserve">Q12</t>
  </si>
  <si>
    <t xml:space="preserve">Which document and speaker said Coca-Cola expects pricing to moderate?</t>
  </si>
  <si>
    <t xml:space="preserve">KO transcript</t>
  </si>
  <si>
    <t xml:space="preserve">The exact speaker named and the transcript cited (or a clean refusal if not stated).</t>
  </si>
  <si>
    <t xml:space="preserve">Q13</t>
  </si>
  <si>
    <t xml:space="preserve">5 - Refusal test</t>
  </si>
  <si>
    <t xml:space="preserve">What is Coca-Cola's stock price today?</t>
  </si>
  <si>
    <t xml:space="preserve">Not in corpus</t>
  </si>
  <si>
    <t xml:space="preserve">A clean refusal. No market data exists in the documents.</t>
  </si>
  <si>
    <t xml:space="preserve">Q14</t>
  </si>
  <si>
    <t xml:space="preserve">What are Nestle's margins this quarter?</t>
  </si>
  <si>
    <t xml:space="preserve">A clean refusal. Nestle is not in the corpus.</t>
  </si>
  <si>
    <t xml:space="preserve">Q15</t>
  </si>
  <si>
    <t xml:space="preserve">What is PepsiCo's detailed plan for 2030?</t>
  </si>
  <si>
    <t xml:space="preserve">A refusal or 'not covered in these documents'.</t>
  </si>
  <si>
    <t xml:space="preserve">How to use this evaluation set</t>
  </si>
  <si>
    <t xml:space="preserve">What this is</t>
  </si>
  <si>
    <t xml:space="preserve">This is your answer key. You write it BEFORE building the system, then run each question</t>
  </si>
  <si>
    <t xml:space="preserve">through your RAG once it works and fill in the yellow columns to see how it did.</t>
  </si>
  <si>
    <t xml:space="preserve">Columns you fill in (the yellow ones)</t>
  </si>
  <si>
    <t xml:space="preserve">Retrieved right source?</t>
  </si>
  <si>
    <t xml:space="preserve">Did the system pull from the document listed in the Expected source column? Y or N.</t>
  </si>
  <si>
    <t xml:space="preserve">Answer grounded?</t>
  </si>
  <si>
    <t xml:space="preserve">Is every claim supported by the sources, with nothing invented? Y or N.</t>
  </si>
  <si>
    <t xml:space="preserve">Refused correctly?</t>
  </si>
  <si>
    <t xml:space="preserve">For Scenario 5 rows only: did it decline instead of guessing? Y or N. Put NA for all other rows.</t>
  </si>
  <si>
    <t xml:space="preserve">Anything you noticed: wrong chunk, missing citation, close but incomplete, etc.</t>
  </si>
  <si>
    <t xml:space="preserve">The five scenarios (why each matters)</t>
  </si>
  <si>
    <t xml:space="preserve">One fact from one document. The common, everyday case. Start here.</t>
  </si>
  <si>
    <t xml:space="preserve">Combines several documents. Tests whether retrieval gathers the right peers.</t>
  </si>
  <si>
    <t xml:space="preserve">Compares two quarters. Tests whether it pulls both periods.</t>
  </si>
  <si>
    <t xml:space="preserve">Where did this come from? Previews the Phase 2 compliance user.</t>
  </si>
  <si>
    <t xml:space="preserve">Questions the docs cannot answer. A good system declines instead of making things up.</t>
  </si>
  <si>
    <t xml:space="preserve">How to read your score</t>
  </si>
  <si>
    <t xml:space="preserve">Faithfulness is the headline: of all non-refusal rows, how many are grounded (Y).</t>
  </si>
  <si>
    <t xml:space="preserve">Refusal accuracy: of the Scenario 5 rows, how many were refused correctly (Y).</t>
  </si>
  <si>
    <t xml:space="preserve">A first build that scores well on faithfulness and refusal is genuinely strong.</t>
  </si>
  <si>
    <t xml:space="preserve">Live scorecard</t>
  </si>
  <si>
    <t xml:space="preserve">Grounded answers (Y)</t>
  </si>
  <si>
    <t xml:space="preserve">Grounded answers marked (Y or N)</t>
  </si>
  <si>
    <t xml:space="preserve">Faithfulness rate</t>
  </si>
  <si>
    <t xml:space="preserve">Refusals correct (Y)</t>
  </si>
  <si>
    <t xml:space="preserve">Refusal rows marked (Y or N)</t>
  </si>
  <si>
    <t xml:space="preserve">Refusal accuracy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</si>
</sst>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05" hidden="false" customHeight="false" outlineLevel="0" collapsed="false">
      <c r="A5" s="4" t="s">
        <v>11</v>
      </c>
      <c r="B5" s="5" t="s">
        <v>12</v>
      </c>
      <c r="C5" s="4" t="s">
        <v>13</v>
      </c>
      <c r="D5" s="4" t="s">
        <v>14</v>
      </c>
      <c r="E5" s="4" t="s">
        <v>15</v>
      </c>
      <c r="F5" s="6" t="s">
        <v>16</v>
      </c>
      <c r="G5" s="6" t="s">
        <v>16</v>
      </c>
      <c r="H5" s="6" t="s">
        <v>17</v>
      </c>
      <c r="I5" s="4" t="s">
        <v>18</v>
      </c>
    </row>
    <row r="6" customFormat="false" ht="23.85" hidden="false" customHeight="false" outlineLevel="0" collapsed="false">
      <c r="A6" s="7" t="s">
        <v>19</v>
      </c>
      <c r="B6" s="8" t="s">
        <v>12</v>
      </c>
      <c r="C6" s="7" t="s">
        <v>20</v>
      </c>
      <c r="D6" s="7" t="s">
        <v>14</v>
      </c>
      <c r="E6" s="7" t="s">
        <v>21</v>
      </c>
      <c r="F6" s="9"/>
      <c r="G6" s="9"/>
      <c r="H6" s="9"/>
      <c r="I6" s="7"/>
    </row>
    <row r="7" customFormat="false" ht="23.85" hidden="false" customHeight="false" outlineLevel="0" collapsed="false">
      <c r="A7" s="7" t="s">
        <v>22</v>
      </c>
      <c r="B7" s="8" t="s">
        <v>12</v>
      </c>
      <c r="C7" s="7" t="s">
        <v>23</v>
      </c>
      <c r="D7" s="7" t="s">
        <v>24</v>
      </c>
      <c r="E7" s="7" t="s">
        <v>25</v>
      </c>
      <c r="F7" s="9"/>
      <c r="G7" s="9"/>
      <c r="H7" s="9"/>
      <c r="I7" s="7"/>
    </row>
    <row r="8" customFormat="false" ht="23.85" hidden="false" customHeight="false" outlineLevel="0" collapsed="false">
      <c r="A8" s="7" t="s">
        <v>26</v>
      </c>
      <c r="B8" s="8" t="s">
        <v>12</v>
      </c>
      <c r="C8" s="7" t="s">
        <v>27</v>
      </c>
      <c r="D8" s="7" t="s">
        <v>28</v>
      </c>
      <c r="E8" s="7" t="s">
        <v>29</v>
      </c>
      <c r="F8" s="9"/>
      <c r="G8" s="9"/>
      <c r="H8" s="9"/>
      <c r="I8" s="7"/>
    </row>
    <row r="9" customFormat="false" ht="23.85" hidden="false" customHeight="false" outlineLevel="0" collapsed="false">
      <c r="A9" s="7" t="s">
        <v>30</v>
      </c>
      <c r="B9" s="8" t="s">
        <v>12</v>
      </c>
      <c r="C9" s="7" t="s">
        <v>31</v>
      </c>
      <c r="D9" s="7" t="s">
        <v>32</v>
      </c>
      <c r="E9" s="7" t="s">
        <v>33</v>
      </c>
      <c r="F9" s="9"/>
      <c r="G9" s="9"/>
      <c r="H9" s="9"/>
      <c r="I9" s="7"/>
    </row>
    <row r="10" customFormat="false" ht="23.85" hidden="false" customHeight="false" outlineLevel="0" collapsed="false">
      <c r="A10" s="7" t="s">
        <v>34</v>
      </c>
      <c r="B10" s="8" t="s">
        <v>12</v>
      </c>
      <c r="C10" s="7" t="s">
        <v>35</v>
      </c>
      <c r="D10" s="7" t="s">
        <v>14</v>
      </c>
      <c r="E10" s="7" t="s">
        <v>36</v>
      </c>
      <c r="F10" s="9"/>
      <c r="G10" s="9"/>
      <c r="H10" s="9"/>
      <c r="I10" s="7"/>
    </row>
    <row r="11" customFormat="false" ht="23.85" hidden="false" customHeight="false" outlineLevel="0" collapsed="false">
      <c r="A11" s="7" t="s">
        <v>37</v>
      </c>
      <c r="B11" s="8" t="s">
        <v>38</v>
      </c>
      <c r="C11" s="7" t="s">
        <v>39</v>
      </c>
      <c r="D11" s="7" t="s">
        <v>40</v>
      </c>
      <c r="E11" s="7" t="s">
        <v>41</v>
      </c>
      <c r="F11" s="9"/>
      <c r="G11" s="9"/>
      <c r="H11" s="9"/>
      <c r="I11" s="7"/>
    </row>
    <row r="12" customFormat="false" ht="23.85" hidden="false" customHeight="false" outlineLevel="0" collapsed="false">
      <c r="A12" s="7" t="s">
        <v>42</v>
      </c>
      <c r="B12" s="8" t="s">
        <v>38</v>
      </c>
      <c r="C12" s="7" t="s">
        <v>43</v>
      </c>
      <c r="D12" s="7" t="s">
        <v>40</v>
      </c>
      <c r="E12" s="7" t="s">
        <v>44</v>
      </c>
      <c r="F12" s="9"/>
      <c r="G12" s="9"/>
      <c r="H12" s="9"/>
      <c r="I12" s="7"/>
    </row>
    <row r="13" customFormat="false" ht="23.85" hidden="false" customHeight="false" outlineLevel="0" collapsed="false">
      <c r="A13" s="7" t="s">
        <v>45</v>
      </c>
      <c r="B13" s="8" t="s">
        <v>38</v>
      </c>
      <c r="C13" s="7" t="s">
        <v>46</v>
      </c>
      <c r="D13" s="7" t="s">
        <v>40</v>
      </c>
      <c r="E13" s="7" t="s">
        <v>47</v>
      </c>
      <c r="F13" s="9"/>
      <c r="G13" s="9"/>
      <c r="H13" s="9"/>
      <c r="I13" s="7"/>
    </row>
    <row r="14" customFormat="false" ht="23.85" hidden="false" customHeight="false" outlineLevel="0" collapsed="false">
      <c r="A14" s="7" t="s">
        <v>48</v>
      </c>
      <c r="B14" s="8" t="s">
        <v>49</v>
      </c>
      <c r="C14" s="7" t="s">
        <v>50</v>
      </c>
      <c r="D14" s="7" t="s">
        <v>51</v>
      </c>
      <c r="E14" s="7" t="s">
        <v>52</v>
      </c>
      <c r="F14" s="9"/>
      <c r="G14" s="9"/>
      <c r="H14" s="9"/>
      <c r="I14" s="7"/>
    </row>
    <row r="15" customFormat="false" ht="23.85" hidden="false" customHeight="false" outlineLevel="0" collapsed="false">
      <c r="A15" s="7" t="s">
        <v>53</v>
      </c>
      <c r="B15" s="8" t="s">
        <v>49</v>
      </c>
      <c r="C15" s="7" t="s">
        <v>54</v>
      </c>
      <c r="D15" s="7" t="s">
        <v>55</v>
      </c>
      <c r="E15" s="7" t="s">
        <v>56</v>
      </c>
      <c r="F15" s="9"/>
      <c r="G15" s="9"/>
      <c r="H15" s="9"/>
      <c r="I15" s="7"/>
    </row>
    <row r="16" customFormat="false" ht="23.85" hidden="false" customHeight="false" outlineLevel="0" collapsed="false">
      <c r="A16" s="7" t="s">
        <v>57</v>
      </c>
      <c r="B16" s="8" t="s">
        <v>58</v>
      </c>
      <c r="C16" s="7" t="s">
        <v>59</v>
      </c>
      <c r="D16" s="7" t="s">
        <v>60</v>
      </c>
      <c r="E16" s="7" t="s">
        <v>61</v>
      </c>
      <c r="F16" s="9"/>
      <c r="G16" s="9"/>
      <c r="H16" s="9"/>
      <c r="I16" s="7"/>
    </row>
    <row r="17" customFormat="false" ht="23.85" hidden="false" customHeight="false" outlineLevel="0" collapsed="false">
      <c r="A17" s="7" t="s">
        <v>62</v>
      </c>
      <c r="B17" s="8" t="s">
        <v>58</v>
      </c>
      <c r="C17" s="7" t="s">
        <v>63</v>
      </c>
      <c r="D17" s="7" t="s">
        <v>64</v>
      </c>
      <c r="E17" s="7" t="s">
        <v>65</v>
      </c>
      <c r="F17" s="9"/>
      <c r="G17" s="9"/>
      <c r="H17" s="9"/>
      <c r="I17" s="7"/>
    </row>
    <row r="18" customFormat="false" ht="15" hidden="false" customHeight="false" outlineLevel="0" collapsed="false">
      <c r="A18" s="7" t="s">
        <v>66</v>
      </c>
      <c r="B18" s="8" t="s">
        <v>67</v>
      </c>
      <c r="C18" s="7" t="s">
        <v>68</v>
      </c>
      <c r="D18" s="7" t="s">
        <v>69</v>
      </c>
      <c r="E18" s="7" t="s">
        <v>70</v>
      </c>
      <c r="F18" s="9"/>
      <c r="G18" s="9"/>
      <c r="H18" s="9"/>
      <c r="I18" s="7"/>
    </row>
    <row r="19" customFormat="false" ht="15" hidden="false" customHeight="false" outlineLevel="0" collapsed="false">
      <c r="A19" s="7" t="s">
        <v>71</v>
      </c>
      <c r="B19" s="8" t="s">
        <v>67</v>
      </c>
      <c r="C19" s="7" t="s">
        <v>72</v>
      </c>
      <c r="D19" s="7" t="s">
        <v>69</v>
      </c>
      <c r="E19" s="7" t="s">
        <v>73</v>
      </c>
      <c r="F19" s="9"/>
      <c r="G19" s="9"/>
      <c r="H19" s="9"/>
      <c r="I19" s="7"/>
    </row>
    <row r="20" customFormat="false" ht="15" hidden="false" customHeight="false" outlineLevel="0" collapsed="false">
      <c r="A20" s="7" t="s">
        <v>74</v>
      </c>
      <c r="B20" s="8" t="s">
        <v>67</v>
      </c>
      <c r="C20" s="7" t="s">
        <v>75</v>
      </c>
      <c r="D20" s="7" t="s">
        <v>69</v>
      </c>
      <c r="E20" s="7" t="s">
        <v>76</v>
      </c>
      <c r="F20" s="9"/>
      <c r="G20" s="9"/>
      <c r="H20" s="9"/>
      <c r="I2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77</v>
      </c>
    </row>
    <row r="3" customFormat="false" ht="15" hidden="false" customHeight="false" outlineLevel="0" collapsed="false">
      <c r="A3" s="10" t="s">
        <v>78</v>
      </c>
      <c r="B3" s="11"/>
    </row>
    <row r="4" customFormat="false" ht="15" hidden="false" customHeight="false" outlineLevel="0" collapsed="false">
      <c r="A4" s="12" t="s">
        <v>79</v>
      </c>
      <c r="B4" s="11"/>
    </row>
    <row r="5" customFormat="false" ht="15" hidden="false" customHeight="false" outlineLevel="0" collapsed="false">
      <c r="A5" s="12" t="s">
        <v>80</v>
      </c>
      <c r="B5" s="11"/>
    </row>
    <row r="6" customFormat="false" ht="15" hidden="false" customHeight="false" outlineLevel="0" collapsed="false">
      <c r="A6" s="12"/>
      <c r="B6" s="11"/>
    </row>
    <row r="7" customFormat="false" ht="15" hidden="false" customHeight="false" outlineLevel="0" collapsed="false">
      <c r="A7" s="10" t="s">
        <v>81</v>
      </c>
      <c r="B7" s="11"/>
    </row>
    <row r="8" customFormat="false" ht="15" hidden="false" customHeight="false" outlineLevel="0" collapsed="false">
      <c r="A8" s="13" t="s">
        <v>82</v>
      </c>
      <c r="B8" s="11" t="s">
        <v>83</v>
      </c>
    </row>
    <row r="9" customFormat="false" ht="15" hidden="false" customHeight="false" outlineLevel="0" collapsed="false">
      <c r="A9" s="13" t="s">
        <v>84</v>
      </c>
      <c r="B9" s="11" t="s">
        <v>85</v>
      </c>
    </row>
    <row r="10" customFormat="false" ht="15" hidden="false" customHeight="false" outlineLevel="0" collapsed="false">
      <c r="A10" s="13" t="s">
        <v>86</v>
      </c>
      <c r="B10" s="11" t="s">
        <v>87</v>
      </c>
    </row>
    <row r="11" customFormat="false" ht="15" hidden="false" customHeight="false" outlineLevel="0" collapsed="false">
      <c r="A11" s="13" t="s">
        <v>10</v>
      </c>
      <c r="B11" s="11" t="s">
        <v>88</v>
      </c>
    </row>
    <row r="12" customFormat="false" ht="15" hidden="false" customHeight="false" outlineLevel="0" collapsed="false">
      <c r="A12" s="12"/>
      <c r="B12" s="11"/>
    </row>
    <row r="13" customFormat="false" ht="15" hidden="false" customHeight="false" outlineLevel="0" collapsed="false">
      <c r="A13" s="10" t="s">
        <v>89</v>
      </c>
      <c r="B13" s="11"/>
    </row>
    <row r="14" customFormat="false" ht="15" hidden="false" customHeight="false" outlineLevel="0" collapsed="false">
      <c r="A14" s="13" t="s">
        <v>12</v>
      </c>
      <c r="B14" s="11" t="s">
        <v>90</v>
      </c>
    </row>
    <row r="15" customFormat="false" ht="15" hidden="false" customHeight="false" outlineLevel="0" collapsed="false">
      <c r="A15" s="13" t="s">
        <v>38</v>
      </c>
      <c r="B15" s="11" t="s">
        <v>91</v>
      </c>
    </row>
    <row r="16" customFormat="false" ht="15" hidden="false" customHeight="false" outlineLevel="0" collapsed="false">
      <c r="A16" s="13" t="s">
        <v>49</v>
      </c>
      <c r="B16" s="11" t="s">
        <v>92</v>
      </c>
    </row>
    <row r="17" customFormat="false" ht="15" hidden="false" customHeight="false" outlineLevel="0" collapsed="false">
      <c r="A17" s="13" t="s">
        <v>58</v>
      </c>
      <c r="B17" s="11" t="s">
        <v>93</v>
      </c>
    </row>
    <row r="18" customFormat="false" ht="15" hidden="false" customHeight="false" outlineLevel="0" collapsed="false">
      <c r="A18" s="13" t="s">
        <v>67</v>
      </c>
      <c r="B18" s="11" t="s">
        <v>94</v>
      </c>
    </row>
    <row r="19" customFormat="false" ht="15" hidden="false" customHeight="false" outlineLevel="0" collapsed="false">
      <c r="A19" s="12"/>
      <c r="B19" s="11"/>
    </row>
    <row r="20" customFormat="false" ht="15" hidden="false" customHeight="false" outlineLevel="0" collapsed="false">
      <c r="A20" s="10" t="s">
        <v>95</v>
      </c>
      <c r="B20" s="11"/>
    </row>
    <row r="21" customFormat="false" ht="15" hidden="false" customHeight="false" outlineLevel="0" collapsed="false">
      <c r="A21" s="12" t="s">
        <v>96</v>
      </c>
      <c r="B21" s="11"/>
    </row>
    <row r="22" customFormat="false" ht="15" hidden="false" customHeight="false" outlineLevel="0" collapsed="false">
      <c r="A22" s="12" t="s">
        <v>97</v>
      </c>
      <c r="B22" s="11"/>
    </row>
    <row r="23" customFormat="false" ht="15" hidden="false" customHeight="false" outlineLevel="0" collapsed="false">
      <c r="A23" s="12" t="s">
        <v>98</v>
      </c>
      <c r="B23" s="11"/>
    </row>
    <row r="25" customFormat="false" ht="15" hidden="false" customHeight="false" outlineLevel="0" collapsed="false">
      <c r="A25" s="10" t="s">
        <v>99</v>
      </c>
    </row>
    <row r="26" customFormat="false" ht="15" hidden="false" customHeight="false" outlineLevel="0" collapsed="false">
      <c r="A26" s="12" t="s">
        <v>100</v>
      </c>
      <c r="B26" s="14" t="n">
        <f aca="false">COUNTIF('Evaluation Set'!$G$5:$G$20,"Y")</f>
        <v>1</v>
      </c>
    </row>
    <row r="27" customFormat="false" ht="15" hidden="false" customHeight="false" outlineLevel="0" collapsed="false">
      <c r="A27" s="12" t="s">
        <v>101</v>
      </c>
      <c r="B27" s="14" t="n">
        <f aca="false">COUNTIF('Evaluation Set'!$G$5:$G$20,"Y")+COUNTIF('Evaluation Set'!$G$5:$G$20,"N")</f>
        <v>1</v>
      </c>
    </row>
    <row r="28" customFormat="false" ht="15" hidden="false" customHeight="false" outlineLevel="0" collapsed="false">
      <c r="A28" s="12" t="s">
        <v>102</v>
      </c>
      <c r="B28" s="15" t="n">
        <f aca="false">IFERROR(B26/B27,"-")</f>
        <v>1</v>
      </c>
    </row>
    <row r="29" customFormat="false" ht="15" hidden="false" customHeight="false" outlineLevel="0" collapsed="false">
      <c r="A29" s="12" t="s">
        <v>103</v>
      </c>
      <c r="B29" s="14" t="n">
        <f aca="false">COUNTIF('Evaluation Set'!$H$5:$H$20,"Y")</f>
        <v>0</v>
      </c>
    </row>
    <row r="30" customFormat="false" ht="15" hidden="false" customHeight="false" outlineLevel="0" collapsed="false">
      <c r="A30" s="12" t="s">
        <v>104</v>
      </c>
      <c r="B30" s="14" t="n">
        <f aca="false">COUNTIF('Evaluation Set'!$H$5:$H$20,"Y")+COUNTIF('Evaluation Set'!$H$5:$H$20,"N")</f>
        <v>0</v>
      </c>
    </row>
    <row r="31" customFormat="false" ht="15" hidden="false" customHeight="false" outlineLevel="0" collapsed="false">
      <c r="A31" s="12" t="s">
        <v>105</v>
      </c>
      <c r="B31" s="15" t="str">
        <f aca="false">IFERROR(B29/B30,"-")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2026-07-20T18:15:54Z</dcterms:created>
  <dc:creator>openpyxl</dc:creator>
  <dc:description/>
  <dc:language>en-US</dc:language>
  <cp:lastModifiedBy/>
  <dcterms:modified xsi:type="dcterms:W3CDTF">2026-07-20T18:15:54Z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